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hoi\Documents\Research\2024\PPRS\"/>
    </mc:Choice>
  </mc:AlternateContent>
  <xr:revisionPtr revIDLastSave="0" documentId="13_ncr:1_{E450A0BE-133E-4038-8542-DDE952639539}" xr6:coauthVersionLast="36" xr6:coauthVersionMax="36" xr10:uidLastSave="{00000000-0000-0000-0000-000000000000}"/>
  <bookViews>
    <workbookView xWindow="0" yWindow="0" windowWidth="18135" windowHeight="7545" xr2:uid="{00D1FFAB-1A9E-45CC-868A-46BC0910E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H8" i="1" s="1"/>
  <c r="G7" i="1" l="1"/>
  <c r="H7" i="1" s="1"/>
  <c r="G6" i="1"/>
  <c r="H6" i="1" s="1"/>
</calcChain>
</file>

<file path=xl/sharedStrings.xml><?xml version="1.0" encoding="utf-8"?>
<sst xmlns="http://schemas.openxmlformats.org/spreadsheetml/2006/main" count="45" uniqueCount="44">
  <si>
    <t>Palin Parent Rating Scale</t>
  </si>
  <si>
    <t>검사결과 해석</t>
  </si>
  <si>
    <t>문항번호</t>
  </si>
  <si>
    <t>16-1</t>
  </si>
  <si>
    <t>16-2</t>
  </si>
  <si>
    <t>16-3</t>
  </si>
  <si>
    <t>16-4</t>
  </si>
  <si>
    <t>아이가 말더듬 때문에 말을 적게 합니까?</t>
  </si>
  <si>
    <t>아이가 얼마나 자신의 말에 좌절감을 느낍니까?</t>
  </si>
  <si>
    <t>아이가 얼마나 자신의 말더듬에 짜증을 냅니까?</t>
  </si>
  <si>
    <t>아이가 얼마나 자신의 말에 대해 불안감을 느낍니까?</t>
  </si>
  <si>
    <t>아이가 얼마나 자신있게 말합니까?</t>
  </si>
  <si>
    <t>아이가 대체로 얼마나 행복합니까?</t>
  </si>
  <si>
    <t>아이가 얼마나 자신의 감정을 잘 이야기할 수 있습니까?</t>
  </si>
  <si>
    <t>아이가 말할 때 얼마나 말하는 것을 힘들어합니까?</t>
  </si>
  <si>
    <t>아이가 가끔 유창할 때가 있습니까?</t>
  </si>
  <si>
    <t>아이가 얼마나 자주 말을 더듬습니까?</t>
  </si>
  <si>
    <t>아이가 얼마나 심하게 말을 더듬습니까?</t>
  </si>
  <si>
    <t>당신의 아이의 말더듬에 대해 얼마나 걱정하고 있습니까?</t>
  </si>
  <si>
    <t>당신은 아이의 말더듬 때문에 얼마나 아이의 미래에 대해 불안해 합니까?</t>
  </si>
  <si>
    <t>말더듬이 당신의 가족에 어느 정도 영향을 끼치고 있습니까?</t>
  </si>
  <si>
    <t>당신은 무엇이 아이의 말더듬에 영향을 끼치는 지 알고 있습니까?</t>
  </si>
  <si>
    <t>당신은 다음의 내용을 얼마나 자신있게 알고 있습니까? 아이가 말을 더듬을 떄 적절히 반응하기</t>
  </si>
  <si>
    <t>아이의 말더듬에 대한 인식과 걱정에 대처하기</t>
  </si>
  <si>
    <t>아이의 자신감을 키워주기</t>
  </si>
  <si>
    <t>아이의 유창성을 격려하기</t>
  </si>
  <si>
    <t>문항</t>
  </si>
  <si>
    <t>정도</t>
  </si>
  <si>
    <t>Factor1</t>
  </si>
  <si>
    <t>Factor2</t>
  </si>
  <si>
    <t>Factor3</t>
  </si>
  <si>
    <t>말더듬이 아이에게 미치는 영향</t>
  </si>
  <si>
    <t>말더듬 정도와 부모의 걱정</t>
  </si>
  <si>
    <t>부모의 말더듬에 대한 지식과 말더듬 관리에 대한 자신감</t>
  </si>
  <si>
    <t>원점수</t>
  </si>
  <si>
    <t>페일린 부모평가 척도지 (Palin Parent Rating Scale) 검사결과 해석방법</t>
  </si>
  <si>
    <t>I. 척도점수입력</t>
  </si>
  <si>
    <t>구성항목</t>
  </si>
  <si>
    <t>검사를 실시한 후에 아래 I-II 단계를 수행하면 결과를 해석할 수 있습니다.
I. 문항의 척도점수(0-10점 중 선택)를 입력하면,
II. 구성항목의 원점수와 정도를 자동 산출해줍니다.
III. 결과해석표를 참조해서 구성항목별 백분위(퍼센타일)를 산출합니다.</t>
  </si>
  <si>
    <t>정도가 높을수록 바람직합니다</t>
  </si>
  <si>
    <t>정도가 낮을수록 바람직합니다.</t>
  </si>
  <si>
    <t>해석</t>
  </si>
  <si>
    <t>결과해석표 (백분위 산출)</t>
  </si>
  <si>
    <r>
      <t>Millard, S. K., &amp; Davis, S. (2016). The Palin Parent Rating Scales: Parents' perspectives of childhood stuttering and its impact. </t>
    </r>
    <r>
      <rPr>
        <i/>
        <sz val="10"/>
        <color rgb="FF222222"/>
        <rFont val="Arial"/>
        <family val="2"/>
      </rPr>
      <t>Journal of Speech, Language, and Hearing Research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59</t>
    </r>
    <r>
      <rPr>
        <sz val="10"/>
        <color rgb="FF222222"/>
        <rFont val="Arial"/>
        <family val="2"/>
      </rPr>
      <t>(5), 950-963.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</si>
</sst>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8</xdr:col>
      <xdr:colOff>1104107</xdr:colOff>
      <xdr:row>23</xdr:row>
      <xdr:rowOff>66381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D5C7D-FCA2-4434-A783-1059DC939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550" y="2095500"/>
          <a:ext cx="6342857" cy="23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104284</xdr:colOff>
      <xdr:row>39</xdr:row>
      <xdr:rowOff>37786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4E79EC-C04B-4360-B73A-4BEA4F1E1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5550" y="4953000"/>
          <a:ext cx="3923809" cy="2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4F96-5644-43CA-8748-46EEB5FE83BF}">
  <dimension ref="A1:J41"/>
  <sheetViews>
    <sheetView tabSelected="1" topLeftCell="B10" workbookViewId="0">
      <selection activeCell="F42" sqref="F42:F43"/>
    </sheetView>
  </sheetViews>
  <sheetFormatPr defaultRowHeight="15"/>
  <cols>
    <col min="1" max="1" width="26" customWidth="1"/>
    <col min="2" max="2" width="9.140625" customWidth="1"/>
    <col min="3" max="3" width="85" customWidth="1"/>
    <col min="4" max="4" width="22.42578125" customWidth="1"/>
    <col min="6" max="6" width="57.28515625" customWidth="1"/>
    <col min="7" max="7" width="12.140625" customWidth="1"/>
    <col min="9" max="9" width="31.28515625" customWidth="1"/>
  </cols>
  <sheetData>
    <row r="1" spans="1:10">
      <c r="A1" t="s">
        <v>0</v>
      </c>
    </row>
    <row r="2" spans="1:10" ht="21">
      <c r="A2" t="s">
        <v>1</v>
      </c>
      <c r="C2" s="2" t="s">
        <v>35</v>
      </c>
    </row>
    <row r="3" spans="1:10" ht="99" customHeight="1">
      <c r="C3" s="7" t="s">
        <v>38</v>
      </c>
      <c r="D3" s="7"/>
      <c r="E3" s="7"/>
      <c r="F3" s="7"/>
      <c r="G3" s="7"/>
      <c r="H3" s="7"/>
      <c r="I3" s="7"/>
      <c r="J3" s="7"/>
    </row>
    <row r="5" spans="1:10">
      <c r="B5" s="3" t="s">
        <v>2</v>
      </c>
      <c r="C5" s="3" t="s">
        <v>26</v>
      </c>
      <c r="D5" s="3" t="s">
        <v>36</v>
      </c>
      <c r="E5" s="3"/>
      <c r="F5" s="3" t="s">
        <v>37</v>
      </c>
      <c r="G5" s="3" t="s">
        <v>34</v>
      </c>
      <c r="H5" s="3" t="s">
        <v>27</v>
      </c>
      <c r="I5" s="8" t="s">
        <v>41</v>
      </c>
    </row>
    <row r="6" spans="1:10">
      <c r="B6" s="4">
        <v>1</v>
      </c>
      <c r="C6" s="5" t="s">
        <v>7</v>
      </c>
      <c r="D6" s="5"/>
      <c r="E6" s="5" t="s">
        <v>28</v>
      </c>
      <c r="F6" s="5" t="s">
        <v>31</v>
      </c>
      <c r="G6" s="6" t="e">
        <f>SUM(D6*0.751, D7*0.775,D8*0.786, D9*0.783, D10*0.747, D11*0.59, D12*0.525)/COUNT(D6:D12)</f>
        <v>#DIV/0!</v>
      </c>
      <c r="H6" s="5" t="e">
        <f>IF(G6&lt;=2.79, "very high", IF(G6&lt;=4.19, "high", IF(G6&lt;=5.59, "moderate", IF(G6&lt;=6.69, "low", "very low"))))</f>
        <v>#DIV/0!</v>
      </c>
      <c r="I6" s="5" t="s">
        <v>40</v>
      </c>
    </row>
    <row r="7" spans="1:10">
      <c r="B7" s="4">
        <v>2</v>
      </c>
      <c r="C7" s="5" t="s">
        <v>8</v>
      </c>
      <c r="D7" s="5"/>
      <c r="E7" s="5" t="s">
        <v>29</v>
      </c>
      <c r="F7" s="5" t="s">
        <v>32</v>
      </c>
      <c r="G7" s="6" t="e">
        <f>SUM(D13*0.703, D14*0.558,D15*0.797, D16*0.807, D17*0.798, D18*0.779, D19*0.424)/COUNT(D13:D19)</f>
        <v>#DIV/0!</v>
      </c>
      <c r="H7" s="5" t="e">
        <f>IF(G7&lt;=1.79, "very high", IF(G7&lt;=2.79, "high", IF(G7&lt;=4.19, "moderate", IF(G7&lt;=5.39, "low", "very low"))))</f>
        <v>#DIV/0!</v>
      </c>
      <c r="I7" s="5" t="s">
        <v>40</v>
      </c>
    </row>
    <row r="8" spans="1:10">
      <c r="B8" s="4">
        <v>3</v>
      </c>
      <c r="C8" s="5" t="s">
        <v>9</v>
      </c>
      <c r="D8" s="5"/>
      <c r="E8" s="5" t="s">
        <v>30</v>
      </c>
      <c r="F8" s="5" t="s">
        <v>33</v>
      </c>
      <c r="G8" s="6" t="e">
        <f>SUM(D20*0.408,D21*0.771, D22*0.882, D23*0.836,D24*0.873)/COUNT(D20:D24)</f>
        <v>#DIV/0!</v>
      </c>
      <c r="H8" s="5" t="e">
        <f>IF(G8&gt;=6.6, "very high", IF(G8&gt;=5.6, "high", IF(G8&gt;=4.1, "moderate", IF(G8&gt;=2.2, "low", "very low"))))</f>
        <v>#DIV/0!</v>
      </c>
      <c r="I8" s="5" t="s">
        <v>39</v>
      </c>
    </row>
    <row r="9" spans="1:10">
      <c r="B9" s="4">
        <v>4</v>
      </c>
      <c r="C9" s="5" t="s">
        <v>10</v>
      </c>
      <c r="D9" s="5"/>
    </row>
    <row r="10" spans="1:10">
      <c r="B10" s="4">
        <v>5</v>
      </c>
      <c r="C10" s="5" t="s">
        <v>11</v>
      </c>
      <c r="D10" s="5"/>
      <c r="F10" s="1" t="s">
        <v>42</v>
      </c>
    </row>
    <row r="11" spans="1:10">
      <c r="B11" s="4">
        <v>6</v>
      </c>
      <c r="C11" s="5" t="s">
        <v>12</v>
      </c>
      <c r="D11" s="5"/>
    </row>
    <row r="12" spans="1:10">
      <c r="B12" s="4">
        <v>7</v>
      </c>
      <c r="C12" s="5" t="s">
        <v>13</v>
      </c>
      <c r="D12" s="5"/>
    </row>
    <row r="13" spans="1:10">
      <c r="B13" s="4">
        <v>8</v>
      </c>
      <c r="C13" s="5" t="s">
        <v>14</v>
      </c>
      <c r="D13" s="5"/>
    </row>
    <row r="14" spans="1:10">
      <c r="B14" s="4">
        <v>9</v>
      </c>
      <c r="C14" s="5" t="s">
        <v>15</v>
      </c>
      <c r="D14" s="5"/>
    </row>
    <row r="15" spans="1:10">
      <c r="B15" s="4">
        <v>10</v>
      </c>
      <c r="C15" s="5" t="s">
        <v>16</v>
      </c>
      <c r="D15" s="5"/>
    </row>
    <row r="16" spans="1:10">
      <c r="B16" s="4">
        <v>11</v>
      </c>
      <c r="C16" s="5" t="s">
        <v>17</v>
      </c>
      <c r="D16" s="5"/>
    </row>
    <row r="17" spans="2:4">
      <c r="B17" s="4">
        <v>12</v>
      </c>
      <c r="C17" s="5" t="s">
        <v>18</v>
      </c>
      <c r="D17" s="5"/>
    </row>
    <row r="18" spans="2:4">
      <c r="B18" s="4">
        <v>13</v>
      </c>
      <c r="C18" s="5" t="s">
        <v>19</v>
      </c>
      <c r="D18" s="5"/>
    </row>
    <row r="19" spans="2:4">
      <c r="B19" s="4">
        <v>14</v>
      </c>
      <c r="C19" s="5" t="s">
        <v>20</v>
      </c>
      <c r="D19" s="5"/>
    </row>
    <row r="20" spans="2:4">
      <c r="B20" s="4">
        <v>15</v>
      </c>
      <c r="C20" s="5" t="s">
        <v>21</v>
      </c>
      <c r="D20" s="5"/>
    </row>
    <row r="21" spans="2:4">
      <c r="B21" s="4" t="s">
        <v>3</v>
      </c>
      <c r="C21" s="5" t="s">
        <v>22</v>
      </c>
      <c r="D21" s="5"/>
    </row>
    <row r="22" spans="2:4">
      <c r="B22" s="4" t="s">
        <v>4</v>
      </c>
      <c r="C22" s="5" t="s">
        <v>23</v>
      </c>
      <c r="D22" s="5"/>
    </row>
    <row r="23" spans="2:4">
      <c r="B23" s="4" t="s">
        <v>5</v>
      </c>
      <c r="C23" s="5" t="s">
        <v>24</v>
      </c>
      <c r="D23" s="5"/>
    </row>
    <row r="24" spans="2:4">
      <c r="B24" s="4" t="s">
        <v>6</v>
      </c>
      <c r="C24" s="5" t="s">
        <v>25</v>
      </c>
      <c r="D24" s="5"/>
    </row>
    <row r="41" spans="6:6">
      <c r="F41" s="9" t="s">
        <v>43</v>
      </c>
    </row>
  </sheetData>
  <mergeCells count="1">
    <mergeCell ref="C3:J3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UnivSouthAlabamaCSCTest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Dahye Choi</dc:creator>
  <cp:lastModifiedBy>Dahye Choi</cp:lastModifiedBy>
  <dcterms:created xsi:type="dcterms:W3CDTF">2024-01-04T15:47:09Z</dcterms:created>
  <dcterms:modified xsi:type="dcterms:W3CDTF">2024-01-04T17:37:12Z</dcterms:modified>
</cp:coreProperties>
</file>